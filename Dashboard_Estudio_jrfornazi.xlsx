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uniorfornazi/Downloads/"/>
    </mc:Choice>
  </mc:AlternateContent>
  <xr:revisionPtr revIDLastSave="0" documentId="13_ncr:1_{469DC4FE-9C5A-C644-9B68-7977CA5672A6}" xr6:coauthVersionLast="47" xr6:coauthVersionMax="47" xr10:uidLastSave="{00000000-0000-0000-0000-000000000000}"/>
  <bookViews>
    <workbookView xWindow="0" yWindow="600" windowWidth="38400" windowHeight="19520" activeTab="4" xr2:uid="{00000000-000D-0000-FFFF-FFFF00000000}"/>
  </bookViews>
  <sheets>
    <sheet name="Base de Dados" sheetId="1" r:id="rId1"/>
    <sheet name="Resumo_Cidade" sheetId="2" r:id="rId2"/>
    <sheet name="Resumo_Servico" sheetId="3" r:id="rId3"/>
    <sheet name="Resumo_Canal" sheetId="4" r:id="rId4"/>
    <sheet name="Dashboard" sheetId="5" r:id="rId5"/>
  </sheets>
  <definedNames>
    <definedName name="_xlchart.v1.0" hidden="1">Resumo_Canal!$A$2:$A$4</definedName>
    <definedName name="_xlchart.v1.1" hidden="1">Resumo_Canal!$B$1</definedName>
    <definedName name="_xlchart.v1.10" hidden="1">Resumo_Servico!$B$1</definedName>
    <definedName name="_xlchart.v1.11" hidden="1">Resumo_Servico!$B$2:$B$7</definedName>
    <definedName name="_xlchart.v1.2" hidden="1">Resumo_Canal!$B$2:$B$4</definedName>
    <definedName name="_xlchart.v1.3" hidden="1">Resumo_Canal!$A$2:$A$4</definedName>
    <definedName name="_xlchart.v1.4" hidden="1">Resumo_Canal!$B$1</definedName>
    <definedName name="_xlchart.v1.5" hidden="1">Resumo_Canal!$B$2:$B$4</definedName>
    <definedName name="_xlchart.v1.6" hidden="1">Resumo_Servico!$A$2:$A$7</definedName>
    <definedName name="_xlchart.v1.7" hidden="1">Resumo_Servico!$B$1</definedName>
    <definedName name="_xlchart.v1.8" hidden="1">Resumo_Servico!$B$2:$B$7</definedName>
    <definedName name="_xlchart.v1.9" hidden="1">Resumo_Servico!$A$2:$A$7</definedName>
  </definedNames>
  <calcPr calcId="0"/>
</workbook>
</file>

<file path=xl/sharedStrings.xml><?xml version="1.0" encoding="utf-8"?>
<sst xmlns="http://schemas.openxmlformats.org/spreadsheetml/2006/main" count="75" uniqueCount="40">
  <si>
    <t>Data</t>
  </si>
  <si>
    <t>Cliente</t>
  </si>
  <si>
    <t>Serviço</t>
  </si>
  <si>
    <t>Cidade</t>
  </si>
  <si>
    <t>Valor Bruto</t>
  </si>
  <si>
    <t>Custo Fixo</t>
  </si>
  <si>
    <t>Canal de Venda</t>
  </si>
  <si>
    <t>Lucro</t>
  </si>
  <si>
    <t>05/01/2026</t>
  </si>
  <si>
    <t>Ana Silva</t>
  </si>
  <si>
    <t>Ensaio Externo</t>
  </si>
  <si>
    <t>Mimoso do Sul</t>
  </si>
  <si>
    <t>Instagram</t>
  </si>
  <si>
    <t>12/01/2026</t>
  </si>
  <si>
    <t>Pedro Santos</t>
  </si>
  <si>
    <t>Evento Corporativo</t>
  </si>
  <si>
    <t>Alegre</t>
  </si>
  <si>
    <t>Indicação</t>
  </si>
  <si>
    <t>20/01/2026</t>
  </si>
  <si>
    <t>Maria Oliveira</t>
  </si>
  <si>
    <t>Newborn</t>
  </si>
  <si>
    <t>Google</t>
  </si>
  <si>
    <t>02/02/2026</t>
  </si>
  <si>
    <t>Carlos Lima</t>
  </si>
  <si>
    <t>Ensaio Casal</t>
  </si>
  <si>
    <t>15/02/2026</t>
  </si>
  <si>
    <t>Juliana Costa</t>
  </si>
  <si>
    <t>Formatura</t>
  </si>
  <si>
    <t>28/02/2026</t>
  </si>
  <si>
    <t>Roberto Souza</t>
  </si>
  <si>
    <t>05/03/2026</t>
  </si>
  <si>
    <t>Fernanda Dias</t>
  </si>
  <si>
    <t>Batizado</t>
  </si>
  <si>
    <t>12/03/2026</t>
  </si>
  <si>
    <t>Lucas Martins</t>
  </si>
  <si>
    <t>22/03/2026</t>
  </si>
  <si>
    <t>Beatriz Cruz</t>
  </si>
  <si>
    <t>25/03/2026</t>
  </si>
  <si>
    <t>Ricardo Alves</t>
  </si>
  <si>
    <t>Quantidade Vendida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</si>
</sst>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Resumo_Cidade!$B$1</c:f>
              <c:strCache>
                <c:ptCount val="1"/>
                <c:pt idx="0">
                  <c:v>Valor Bruto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Resumo_Cidade!$A$2:$A$3</c:f>
              <c:strCache>
                <c:ptCount val="2"/>
                <c:pt idx="0">
                  <c:v>Alegre</c:v>
                </c:pt>
                <c:pt idx="1">
                  <c:v>Mimoso do Sul</c:v>
                </c:pt>
              </c:strCache>
            </c:strRef>
          </c:cat>
          <c:val>
            <c:numRef>
              <c:f>Resumo_Cidade!$B$2:$B$3</c:f>
              <c:numCache>
                <c:formatCode>General</c:formatCode>
                <c:ptCount val="2"/>
                <c:pt idx="0">
                  <c:v>3600</c:v>
                </c:pt>
                <c:pt idx="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2-C54A-AC5C-7C07E2B9A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157952"/>
        <c:axId val="661018752"/>
      </c:barChart>
      <c:catAx>
        <c:axId val="62015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018752"/>
        <c:crosses val="autoZero"/>
        <c:auto val="1"/>
        <c:lblAlgn val="ctr"/>
        <c:lblOffset val="100"/>
        <c:noMultiLvlLbl val="0"/>
      </c:catAx>
      <c:valAx>
        <c:axId val="66101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15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Resumo_Servico!$B$1</c:f>
              <c:strCache>
                <c:ptCount val="1"/>
                <c:pt idx="0">
                  <c:v>Quantidade Vendida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Resumo_Servico!$A$2:$A$7</c:f>
              <c:strCache>
                <c:ptCount val="6"/>
                <c:pt idx="0">
                  <c:v>Ensaio Externo</c:v>
                </c:pt>
                <c:pt idx="1">
                  <c:v>Evento Corporativo</c:v>
                </c:pt>
                <c:pt idx="2">
                  <c:v>Newborn</c:v>
                </c:pt>
                <c:pt idx="3">
                  <c:v>Ensaio Casal</c:v>
                </c:pt>
                <c:pt idx="4">
                  <c:v>Formatura</c:v>
                </c:pt>
                <c:pt idx="5">
                  <c:v>Batizado</c:v>
                </c:pt>
              </c:strCache>
            </c:strRef>
          </c:cat>
          <c:val>
            <c:numRef>
              <c:f>Resumo_Servico!$B$2:$B$7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A-8147-9671-E8E0300C2A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70464000"/>
        <c:axId val="670461760"/>
      </c:barChart>
      <c:catAx>
        <c:axId val="67046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0461760"/>
        <c:crosses val="autoZero"/>
        <c:auto val="1"/>
        <c:lblAlgn val="ctr"/>
        <c:lblOffset val="100"/>
        <c:noMultiLvlLbl val="0"/>
      </c:catAx>
      <c:valAx>
        <c:axId val="67046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046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Resumo_Canal!$B$1</c:f>
              <c:strCache>
                <c:ptCount val="1"/>
                <c:pt idx="0">
                  <c:v>Valor Bruto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Resumo_Canal!$A$2:$A$4</c:f>
              <c:strCache>
                <c:ptCount val="3"/>
                <c:pt idx="0">
                  <c:v>Google</c:v>
                </c:pt>
                <c:pt idx="1">
                  <c:v>Indicação</c:v>
                </c:pt>
                <c:pt idx="2">
                  <c:v>Instagram</c:v>
                </c:pt>
              </c:strCache>
            </c:strRef>
          </c:cat>
          <c:val>
            <c:numRef>
              <c:f>Resumo_Canal!$B$2:$B$4</c:f>
              <c:numCache>
                <c:formatCode>General</c:formatCode>
                <c:ptCount val="3"/>
                <c:pt idx="0">
                  <c:v>1850</c:v>
                </c:pt>
                <c:pt idx="1">
                  <c:v>3800</c:v>
                </c:pt>
                <c:pt idx="2">
                  <c:v>1950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1-9D45-B1ED-2A6AAAB9E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1988160"/>
        <c:axId val="661065664"/>
      </c:barChart>
      <c:catAx>
        <c:axId val="67198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065664"/>
        <c:crosses val="autoZero"/>
        <c:auto val="1"/>
        <c:lblAlgn val="ctr"/>
        <c:lblOffset val="100"/>
        <c:noMultiLvlLbl val="0"/>
      </c:catAx>
      <c:valAx>
        <c:axId val="66106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98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baseline="0"/>
              <a:t>Bruto por Cidade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Resumo_Cidade!$B$1</c:f>
              <c:strCache>
                <c:ptCount val="1"/>
                <c:pt idx="0">
                  <c:v>Valor Bruto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Resumo_Cidade!$A$2:$A$3</c:f>
              <c:strCache>
                <c:ptCount val="2"/>
                <c:pt idx="0">
                  <c:v>Alegre</c:v>
                </c:pt>
                <c:pt idx="1">
                  <c:v>Mimoso do Sul</c:v>
                </c:pt>
              </c:strCache>
            </c:strRef>
          </c:cat>
          <c:val>
            <c:numRef>
              <c:f>Resumo_Cidade!$B$2:$B$3</c:f>
              <c:numCache>
                <c:formatCode>General</c:formatCode>
                <c:ptCount val="2"/>
                <c:pt idx="0">
                  <c:v>3600</c:v>
                </c:pt>
                <c:pt idx="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F-7F45-BA8F-A758AD0F17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0157952"/>
        <c:axId val="661018752"/>
      </c:barChart>
      <c:catAx>
        <c:axId val="62015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018752"/>
        <c:crosses val="autoZero"/>
        <c:auto val="1"/>
        <c:lblAlgn val="ctr"/>
        <c:lblOffset val="100"/>
        <c:noMultiLvlLbl val="0"/>
      </c:catAx>
      <c:valAx>
        <c:axId val="66101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15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baseline="0"/>
              <a:t>Serviço mais Vendido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Resumo_Servico!$B$1</c:f>
              <c:strCache>
                <c:ptCount val="1"/>
                <c:pt idx="0">
                  <c:v>Quantidade Vendida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Resumo_Servico!$A$2:$A$7</c:f>
              <c:strCache>
                <c:ptCount val="6"/>
                <c:pt idx="0">
                  <c:v>Ensaio Externo</c:v>
                </c:pt>
                <c:pt idx="1">
                  <c:v>Evento Corporativo</c:v>
                </c:pt>
                <c:pt idx="2">
                  <c:v>Newborn</c:v>
                </c:pt>
                <c:pt idx="3">
                  <c:v>Ensaio Casal</c:v>
                </c:pt>
                <c:pt idx="4">
                  <c:v>Formatura</c:v>
                </c:pt>
                <c:pt idx="5">
                  <c:v>Batizado</c:v>
                </c:pt>
              </c:strCache>
            </c:strRef>
          </c:cat>
          <c:val>
            <c:numRef>
              <c:f>Resumo_Servico!$B$2:$B$7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1-BD4F-B494-3A278D0016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70464000"/>
        <c:axId val="670461760"/>
      </c:barChart>
      <c:catAx>
        <c:axId val="67046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0461760"/>
        <c:crosses val="autoZero"/>
        <c:auto val="1"/>
        <c:lblAlgn val="ctr"/>
        <c:lblOffset val="100"/>
        <c:noMultiLvlLbl val="0"/>
      </c:catAx>
      <c:valAx>
        <c:axId val="67046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046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cap="all" baseline="0"/>
              <a:t>Faturamento por Canal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Resumo_Canal!$B$1</c:f>
              <c:strCache>
                <c:ptCount val="1"/>
                <c:pt idx="0">
                  <c:v>Valor Bruto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Resumo_Canal!$A$2:$A$4</c:f>
              <c:strCache>
                <c:ptCount val="3"/>
                <c:pt idx="0">
                  <c:v>Google</c:v>
                </c:pt>
                <c:pt idx="1">
                  <c:v>Indicação</c:v>
                </c:pt>
                <c:pt idx="2">
                  <c:v>Instagram</c:v>
                </c:pt>
              </c:strCache>
            </c:strRef>
          </c:cat>
          <c:val>
            <c:numRef>
              <c:f>Resumo_Canal!$B$2:$B$4</c:f>
              <c:numCache>
                <c:formatCode>General</c:formatCode>
                <c:ptCount val="3"/>
                <c:pt idx="0">
                  <c:v>1850</c:v>
                </c:pt>
                <c:pt idx="1">
                  <c:v>3800</c:v>
                </c:pt>
                <c:pt idx="2">
                  <c:v>1950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C-9149-91D3-EABD98FADEB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336550</xdr:colOff>
      <xdr:row>17</xdr:row>
      <xdr:rowOff>82550</xdr:rowOff>
    </xdr:from>
    <xdr:to>
      <xdr:col>21</xdr:col>
      <xdr:colOff>196850</xdr:colOff>
      <xdr:row>31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3DB488-EB10-7740-F612-51C39D191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336550</xdr:colOff>
      <xdr:row>17</xdr:row>
      <xdr:rowOff>82550</xdr:rowOff>
    </xdr:from>
    <xdr:to>
      <xdr:col>21</xdr:col>
      <xdr:colOff>196850</xdr:colOff>
      <xdr:row>31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FEAB18-4CCD-BE3E-1499-C51B16285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444500</xdr:colOff>
      <xdr:row>17</xdr:row>
      <xdr:rowOff>82550</xdr:rowOff>
    </xdr:from>
    <xdr:to>
      <xdr:col>18</xdr:col>
      <xdr:colOff>304800</xdr:colOff>
      <xdr:row>31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6E3646-FF0D-E9A7-341B-604EBB36B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241300</xdr:colOff>
      <xdr:row>21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88E171-4FEA-3948-8C4B-29421C2EE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584200</xdr:colOff>
      <xdr:row>0</xdr:row>
      <xdr:rowOff>25400</xdr:rowOff>
    </xdr:from>
    <xdr:to>
      <xdr:col>15</xdr:col>
      <xdr:colOff>76200</xdr:colOff>
      <xdr:row>21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A49F56-BC39-774C-A155-69CD533FA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0</xdr:row>
      <xdr:rowOff>0</xdr:rowOff>
    </xdr:from>
    <xdr:to>
      <xdr:col>22</xdr:col>
      <xdr:colOff>584200</xdr:colOff>
      <xdr:row>21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33F0931-B97E-5045-B3A5-ED1E02EB2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450</v>
      </c>
      <c r="F2">
        <v>50</v>
      </c>
      <c r="G2" t="s">
        <v>12</v>
      </c>
      <c r="H2">
        <v>400</v>
      </c>
    </row>
    <row r="3" spans="1:8" x14ac:dyDescent="0.2">
      <c r="A3" t="s">
        <v>13</v>
      </c>
      <c r="B3" t="s">
        <v>14</v>
      </c>
      <c r="C3" t="s">
        <v>15</v>
      </c>
      <c r="D3" t="s">
        <v>16</v>
      </c>
      <c r="E3">
        <v>1200</v>
      </c>
      <c r="F3">
        <v>200</v>
      </c>
      <c r="G3" t="s">
        <v>17</v>
      </c>
      <c r="H3">
        <v>1000</v>
      </c>
    </row>
    <row r="4" spans="1:8" x14ac:dyDescent="0.2">
      <c r="A4" t="s">
        <v>18</v>
      </c>
      <c r="B4" t="s">
        <v>19</v>
      </c>
      <c r="C4" t="s">
        <v>20</v>
      </c>
      <c r="D4" t="s">
        <v>11</v>
      </c>
      <c r="E4">
        <v>600</v>
      </c>
      <c r="F4">
        <v>80</v>
      </c>
      <c r="G4" t="s">
        <v>21</v>
      </c>
      <c r="H4">
        <v>520</v>
      </c>
    </row>
    <row r="5" spans="1:8" x14ac:dyDescent="0.2">
      <c r="A5" t="s">
        <v>22</v>
      </c>
      <c r="B5" t="s">
        <v>23</v>
      </c>
      <c r="C5" t="s">
        <v>24</v>
      </c>
      <c r="D5" t="s">
        <v>16</v>
      </c>
      <c r="E5">
        <v>400</v>
      </c>
      <c r="F5">
        <v>40</v>
      </c>
      <c r="G5" t="s">
        <v>12</v>
      </c>
      <c r="H5">
        <v>360</v>
      </c>
    </row>
    <row r="6" spans="1:8" x14ac:dyDescent="0.2">
      <c r="A6" t="s">
        <v>25</v>
      </c>
      <c r="B6" t="s">
        <v>26</v>
      </c>
      <c r="C6" t="s">
        <v>27</v>
      </c>
      <c r="D6" t="s">
        <v>11</v>
      </c>
      <c r="E6">
        <v>1500</v>
      </c>
      <c r="F6">
        <v>300</v>
      </c>
      <c r="G6" t="s">
        <v>17</v>
      </c>
      <c r="H6">
        <v>1200</v>
      </c>
    </row>
    <row r="7" spans="1:8" x14ac:dyDescent="0.2">
      <c r="A7" t="s">
        <v>28</v>
      </c>
      <c r="B7" t="s">
        <v>29</v>
      </c>
      <c r="C7" t="s">
        <v>10</v>
      </c>
      <c r="D7" t="s">
        <v>16</v>
      </c>
      <c r="E7">
        <v>450</v>
      </c>
      <c r="F7">
        <v>50</v>
      </c>
      <c r="G7" t="s">
        <v>12</v>
      </c>
      <c r="H7">
        <v>400</v>
      </c>
    </row>
    <row r="8" spans="1:8" x14ac:dyDescent="0.2">
      <c r="A8" t="s">
        <v>30</v>
      </c>
      <c r="B8" t="s">
        <v>31</v>
      </c>
      <c r="C8" t="s">
        <v>32</v>
      </c>
      <c r="D8" t="s">
        <v>11</v>
      </c>
      <c r="E8">
        <v>800</v>
      </c>
      <c r="F8">
        <v>120</v>
      </c>
      <c r="G8" t="s">
        <v>21</v>
      </c>
      <c r="H8">
        <v>680</v>
      </c>
    </row>
    <row r="9" spans="1:8" x14ac:dyDescent="0.2">
      <c r="A9" t="s">
        <v>33</v>
      </c>
      <c r="B9" t="s">
        <v>34</v>
      </c>
      <c r="C9" t="s">
        <v>15</v>
      </c>
      <c r="D9" t="s">
        <v>16</v>
      </c>
      <c r="E9">
        <v>1100</v>
      </c>
      <c r="F9">
        <v>180</v>
      </c>
      <c r="G9" t="s">
        <v>17</v>
      </c>
      <c r="H9">
        <v>920</v>
      </c>
    </row>
    <row r="10" spans="1:8" x14ac:dyDescent="0.2">
      <c r="A10" t="s">
        <v>35</v>
      </c>
      <c r="B10" t="s">
        <v>36</v>
      </c>
      <c r="C10" t="s">
        <v>20</v>
      </c>
      <c r="D10" t="s">
        <v>11</v>
      </c>
      <c r="E10">
        <v>650</v>
      </c>
      <c r="F10">
        <v>90</v>
      </c>
      <c r="G10" t="s">
        <v>12</v>
      </c>
      <c r="H10">
        <v>560</v>
      </c>
    </row>
    <row r="11" spans="1:8" x14ac:dyDescent="0.2">
      <c r="A11" t="s">
        <v>37</v>
      </c>
      <c r="B11" t="s">
        <v>38</v>
      </c>
      <c r="C11" t="s">
        <v>10</v>
      </c>
      <c r="D11" t="s">
        <v>16</v>
      </c>
      <c r="E11">
        <v>450</v>
      </c>
      <c r="F11">
        <v>50</v>
      </c>
      <c r="G11" t="s">
        <v>21</v>
      </c>
      <c r="H11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t="s">
        <v>16</v>
      </c>
      <c r="B2">
        <v>3600</v>
      </c>
    </row>
    <row r="3" spans="1:2" x14ac:dyDescent="0.2">
      <c r="A3" t="s">
        <v>11</v>
      </c>
      <c r="B3">
        <v>4000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sqref="A1:B7"/>
    </sheetView>
  </sheetViews>
  <sheetFormatPr baseColWidth="10" defaultColWidth="8.83203125" defaultRowHeight="15" x14ac:dyDescent="0.2"/>
  <sheetData>
    <row r="1" spans="1:2" x14ac:dyDescent="0.2">
      <c r="A1" s="1" t="s">
        <v>2</v>
      </c>
      <c r="B1" s="1" t="s">
        <v>39</v>
      </c>
    </row>
    <row r="2" spans="1:2" x14ac:dyDescent="0.2">
      <c r="A2" t="s">
        <v>10</v>
      </c>
      <c r="B2">
        <v>3</v>
      </c>
    </row>
    <row r="3" spans="1:2" x14ac:dyDescent="0.2">
      <c r="A3" t="s">
        <v>15</v>
      </c>
      <c r="B3">
        <v>2</v>
      </c>
    </row>
    <row r="4" spans="1:2" x14ac:dyDescent="0.2">
      <c r="A4" t="s">
        <v>20</v>
      </c>
      <c r="B4">
        <v>2</v>
      </c>
    </row>
    <row r="5" spans="1:2" x14ac:dyDescent="0.2">
      <c r="A5" t="s">
        <v>24</v>
      </c>
      <c r="B5">
        <v>1</v>
      </c>
    </row>
    <row r="6" spans="1:2" x14ac:dyDescent="0.2">
      <c r="A6" t="s">
        <v>27</v>
      </c>
      <c r="B6">
        <v>1</v>
      </c>
    </row>
    <row r="7" spans="1:2" x14ac:dyDescent="0.2">
      <c r="A7" t="s">
        <v>32</v>
      </c>
      <c r="B7">
        <v>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sqref="A1:B4"/>
    </sheetView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4</v>
      </c>
    </row>
    <row r="2" spans="1:2" x14ac:dyDescent="0.2">
      <c r="A2" t="s">
        <v>21</v>
      </c>
      <c r="B2">
        <v>1850</v>
      </c>
    </row>
    <row r="3" spans="1:2" x14ac:dyDescent="0.2">
      <c r="A3" t="s">
        <v>17</v>
      </c>
      <c r="B3">
        <v>3800</v>
      </c>
    </row>
    <row r="4" spans="1:2" x14ac:dyDescent="0.2">
      <c r="A4" t="s">
        <v>12</v>
      </c>
      <c r="B4">
        <v>1950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F7E3C-86EA-DE4F-AADF-BEB3A8440AEF}">
  <dimension ref="A1"/>
  <sheetViews>
    <sheetView showGridLines="0" tabSelected="1" workbookViewId="0">
      <selection activeCell="N39" sqref="N39"/>
    </sheetView>
  </sheetViews>
  <sheetFormatPr baseColWidth="10" defaultRowHeight="15" x14ac:dyDescent="0.2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de Dados</vt:lpstr>
      <vt:lpstr>Resumo_Cidade</vt:lpstr>
      <vt:lpstr>Resumo_Servico</vt:lpstr>
      <vt:lpstr>Resumo_Canal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Junior Fornazi</cp:lastModifiedBy>
  <dcterms:created xsi:type="dcterms:W3CDTF">2026-03-28T19:36:49Z</dcterms:created>
  <dcterms:modified xsi:type="dcterms:W3CDTF">2026-03-28T19:53:04Z</dcterms:modified>
</cp:coreProperties>
</file>